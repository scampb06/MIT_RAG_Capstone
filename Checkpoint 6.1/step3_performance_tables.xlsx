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038c3b5ed3a64a24/Documents/MIT RAG/Capstone/Checkpoint 6.1/"/>
    </mc:Choice>
  </mc:AlternateContent>
  <xr:revisionPtr revIDLastSave="99" documentId="11_FE010529C2409DA584AF45D3B162B84F82B196E2" xr6:coauthVersionLast="47" xr6:coauthVersionMax="47" xr10:uidLastSave="{E34F8253-1520-44BE-94DE-B869E2090FAF}"/>
  <bookViews>
    <workbookView xWindow="-108" yWindow="-108" windowWidth="23256" windowHeight="12456" activeTab="1" xr2:uid="{00000000-000D-0000-FFFF-FFFF00000000}"/>
  </bookViews>
  <sheets>
    <sheet name="Combined" sheetId="1" r:id="rId1"/>
    <sheet name="Graphs" sheetId="4" r:id="rId2"/>
    <sheet name="Note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9" i="1" l="1"/>
  <c r="X8" i="1"/>
  <c r="X7" i="1"/>
  <c r="X6" i="1"/>
  <c r="X5" i="1"/>
  <c r="X4" i="1"/>
  <c r="X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source</author>
  </authors>
  <commentList>
    <comment ref="U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Source: 100% (fixed pipeline)</t>
        </r>
      </text>
    </comment>
    <comment ref="T6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Source: ~$0.32 (incl. answer)</t>
        </r>
      </text>
    </comment>
    <comment ref="J7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Not reported in source table 2</t>
        </r>
      </text>
    </comment>
    <comment ref="K7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Not reported in source table 2</t>
        </r>
      </text>
    </comment>
    <comment ref="L7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Not reported in source table 2</t>
        </r>
      </text>
    </comment>
    <comment ref="M7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Not reported in source table 2</t>
        </r>
      </text>
    </comment>
    <comment ref="N7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Not reported in source table 2</t>
        </r>
      </text>
    </comment>
  </commentList>
</comments>
</file>

<file path=xl/sharedStrings.xml><?xml version="1.0" encoding="utf-8"?>
<sst xmlns="http://schemas.openxmlformats.org/spreadsheetml/2006/main" count="67" uniqueCount="53">
  <si>
    <t>Configuration</t>
  </si>
  <si>
    <t>1. Headline</t>
  </si>
  <si>
    <t>2. Time (medians / query)</t>
  </si>
  <si>
    <t>3. Tokens and cost by role</t>
  </si>
  <si>
    <t>4. Workflow complexity</t>
  </si>
  <si>
    <t>Correct / 17</t>
  </si>
  <si>
    <t>Agent latency p50 (s)</t>
  </si>
  <si>
    <t>Agent latency p90 (s)</t>
  </si>
  <si>
    <t>Agent latency max (s)</t>
  </si>
  <si>
    <t>Agent LLM calls / query (mean)</t>
  </si>
  <si>
    <t>Agent LLM calls / query (max)</t>
  </si>
  <si>
    <t>Planned steps / query</t>
  </si>
  <si>
    <t>Retrieval, local no LLM (s)</t>
  </si>
  <si>
    <t>Planner, all turns (s)</t>
  </si>
  <si>
    <t>Answer (s)</t>
  </si>
  <si>
    <t>Agent total (s)</t>
  </si>
  <si>
    <t>Share of agent time in planner (approx.)</t>
  </si>
  <si>
    <t>Tokens / query (incl. judges)</t>
  </si>
  <si>
    <t>Planner tokens / query</t>
  </si>
  <si>
    <t>Context passed to answerer (chars, mean)</t>
  </si>
  <si>
    <t>Planner + clue cost / run</t>
  </si>
  <si>
    <t>Answer cost / run (incl. closed-book)</t>
  </si>
  <si>
    <t>Remainder (judges, decompose) / run</t>
  </si>
  <si>
    <t>Answered after seed search only</t>
  </si>
  <si>
    <t>Verification retries / query</t>
  </si>
  <si>
    <t>Queries in sample</t>
  </si>
  <si>
    <t>Stop: planner_answer</t>
  </si>
  <si>
    <t>Stop: step_budget</t>
  </si>
  <si>
    <t>Stop: parse_failure</t>
  </si>
  <si>
    <t>Stop: unverified_answer</t>
  </si>
  <si>
    <t>Stop: repeat_action</t>
  </si>
  <si>
    <t>Stop: fixed_pipeline</t>
  </si>
  <si>
    <t>v0 whole-article baseline</t>
  </si>
  <si>
    <t>n/a</t>
  </si>
  <si>
    <t>v1 gpt-5.4-mini</t>
  </si>
  <si>
    <t>not recorded</t>
  </si>
  <si>
    <t>v2 gpt-5.4-mini (round 2, final)</t>
  </si>
  <si>
    <t>v2 gpt-5.4 planner</t>
  </si>
  <si>
    <t>v2 Haiku answer</t>
  </si>
  <si>
    <t>—</t>
  </si>
  <si>
    <t>v2 Haiku planner + answer</t>
  </si>
  <si>
    <t>v2 Haiku both + medium reasoning</t>
  </si>
  <si>
    <t>Source: Checkpoint 6.1/step3_performance_tables.md, sections 1-4 (17-question golden subset; 2 runs per configuration, 1 for v0).</t>
  </si>
  <si>
    <t>Agent latency is agent_wall_seconds: wall-clock question to answer, without the evaluation judges; includes rate-limit waits during the agent's own calls.</t>
  </si>
  <si>
    <t>Agent LLM calls counts the clue step, planner turns (incl. verification retries), decompose and the answer; judges excluded. v2 minimum is 3 calls.</t>
  </si>
  <si>
    <t>Cost per run includes the evaluation judges and the closed-book baseline call.</t>
  </si>
  <si>
    <t>Section 2 time columns are medians per query; they don't add up to the total because they come from different questions. 'v2 Haiku answer' was not in that table (shown as —).</t>
  </si>
  <si>
    <t>Planner share of agent time is approximate ('about N%' in the source).</t>
  </si>
  <si>
    <t>Section 3 'v2 gpt-5.4 planner' remainder was ~$0.32 and includes the answer cost.</t>
  </si>
  <si>
    <t>Stop reasons are counts over 34 queries (v0: 17), split into one column per reason; 0 means the reason didn't appear in the source.</t>
  </si>
  <si>
    <t>step_budget = agent hit MAX_PLANNED_STEPS = 3; parse_failure = planner returned unparseable JSON and the agent fell back to answering.</t>
  </si>
  <si>
    <t>Cost / run in dimes (incl. judges)</t>
  </si>
  <si>
    <t>Answered after seed 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</si>
</sst>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\$0.00"/>
    <numFmt numFmtId="166" formatCode="#,##0.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EDE1F5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1" fillId="0" borderId="1" xfId="0" applyFont="1" applyBorder="1"/>
    <xf numFmtId="164" fontId="1" fillId="0" borderId="1" xfId="0" applyNumberFormat="1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9" fontId="1" fillId="0" borderId="1" xfId="0" applyNumberFormat="1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2" fillId="3" borderId="1" xfId="0" applyFont="1" applyFill="1" applyBorder="1" applyAlignment="1">
      <alignment horizontal="center" vertical="center" wrapText="1"/>
    </xf>
    <xf numFmtId="166" fontId="0" fillId="0" borderId="1" xfId="0" applyNumberFormat="1" applyBorder="1" applyAlignment="1">
      <alignment horizontal="center"/>
    </xf>
    <xf numFmtId="0" fontId="1" fillId="5" borderId="1" xfId="0" applyFont="1" applyFill="1" applyBorder="1" applyAlignment="1">
      <alignment horizontal="center" vertical="center" wrapText="1"/>
    </xf>
    <xf numFmtId="0" fontId="0" fillId="5" borderId="1" xfId="0" applyFill="1" applyBorder="1"/>
    <xf numFmtId="0" fontId="1" fillId="6" borderId="1" xfId="0" applyFont="1" applyFill="1" applyBorder="1" applyAlignment="1">
      <alignment horizontal="center" vertical="center" wrapText="1"/>
    </xf>
    <xf numFmtId="0" fontId="0" fillId="6" borderId="1" xfId="0" applyFill="1" applyBorder="1"/>
    <xf numFmtId="0" fontId="1" fillId="4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RAG</a:t>
            </a:r>
            <a:r>
              <a:rPr lang="en-US" baseline="0"/>
              <a:t> Agent Performance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Combined!$B$2</c:f>
              <c:strCache>
                <c:ptCount val="1"/>
                <c:pt idx="0">
                  <c:v>Correct / 17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Combined!$A$3:$A$9</c:f>
              <c:strCache>
                <c:ptCount val="7"/>
                <c:pt idx="0">
                  <c:v>v0 whole-article baseline</c:v>
                </c:pt>
                <c:pt idx="1">
                  <c:v>v1 gpt-5.4-mini</c:v>
                </c:pt>
                <c:pt idx="2">
                  <c:v>v2 gpt-5.4-mini (round 2, final)</c:v>
                </c:pt>
                <c:pt idx="3">
                  <c:v>v2 gpt-5.4 planner</c:v>
                </c:pt>
                <c:pt idx="4">
                  <c:v>v2 Haiku answer</c:v>
                </c:pt>
                <c:pt idx="5">
                  <c:v>v2 Haiku planner + answer</c:v>
                </c:pt>
                <c:pt idx="6">
                  <c:v>v2 Haiku both + medium reasoning</c:v>
                </c:pt>
              </c:strCache>
            </c:strRef>
          </c:cat>
          <c:val>
            <c:numRef>
              <c:f>Combined!$B$3:$B$9</c:f>
              <c:numCache>
                <c:formatCode>0.0</c:formatCode>
                <c:ptCount val="7"/>
                <c:pt idx="0">
                  <c:v>7</c:v>
                </c:pt>
                <c:pt idx="1">
                  <c:v>11.5</c:v>
                </c:pt>
                <c:pt idx="2">
                  <c:v>11.5</c:v>
                </c:pt>
                <c:pt idx="3">
                  <c:v>12.5</c:v>
                </c:pt>
                <c:pt idx="4">
                  <c:v>12.5</c:v>
                </c:pt>
                <c:pt idx="5">
                  <c:v>13.5</c:v>
                </c:pt>
                <c:pt idx="6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56-4B17-9673-6D3EFD1860C4}"/>
            </c:ext>
          </c:extLst>
        </c:ser>
        <c:ser>
          <c:idx val="1"/>
          <c:order val="1"/>
          <c:tx>
            <c:strRef>
              <c:f>Combined!$C$2</c:f>
              <c:strCache>
                <c:ptCount val="1"/>
                <c:pt idx="0">
                  <c:v>Cost / run in dimes (incl. judges)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Combined!$A$3:$A$9</c:f>
              <c:strCache>
                <c:ptCount val="7"/>
                <c:pt idx="0">
                  <c:v>v0 whole-article baseline</c:v>
                </c:pt>
                <c:pt idx="1">
                  <c:v>v1 gpt-5.4-mini</c:v>
                </c:pt>
                <c:pt idx="2">
                  <c:v>v2 gpt-5.4-mini (round 2, final)</c:v>
                </c:pt>
                <c:pt idx="3">
                  <c:v>v2 gpt-5.4 planner</c:v>
                </c:pt>
                <c:pt idx="4">
                  <c:v>v2 Haiku answer</c:v>
                </c:pt>
                <c:pt idx="5">
                  <c:v>v2 Haiku planner + answer</c:v>
                </c:pt>
                <c:pt idx="6">
                  <c:v>v2 Haiku both + medium reasoning</c:v>
                </c:pt>
              </c:strCache>
            </c:strRef>
          </c:cat>
          <c:val>
            <c:numRef>
              <c:f>Combined!$C$3:$C$9</c:f>
              <c:numCache>
                <c:formatCode>#,##0.0</c:formatCode>
                <c:ptCount val="7"/>
                <c:pt idx="0">
                  <c:v>29.9</c:v>
                </c:pt>
                <c:pt idx="1">
                  <c:v>4.3</c:v>
                </c:pt>
                <c:pt idx="2">
                  <c:v>5.5000000000000009</c:v>
                </c:pt>
                <c:pt idx="3">
                  <c:v>10.199999999999999</c:v>
                </c:pt>
                <c:pt idx="4">
                  <c:v>6.3</c:v>
                </c:pt>
                <c:pt idx="5">
                  <c:v>8.1999999999999993</c:v>
                </c:pt>
                <c:pt idx="6">
                  <c:v>10.8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56-4B17-9673-6D3EFD1860C4}"/>
            </c:ext>
          </c:extLst>
        </c:ser>
        <c:ser>
          <c:idx val="2"/>
          <c:order val="2"/>
          <c:tx>
            <c:strRef>
              <c:f>Combined!$D$2</c:f>
              <c:strCache>
                <c:ptCount val="1"/>
                <c:pt idx="0">
                  <c:v>Agent latency p50 (s)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Combined!$A$3:$A$9</c:f>
              <c:strCache>
                <c:ptCount val="7"/>
                <c:pt idx="0">
                  <c:v>v0 whole-article baseline</c:v>
                </c:pt>
                <c:pt idx="1">
                  <c:v>v1 gpt-5.4-mini</c:v>
                </c:pt>
                <c:pt idx="2">
                  <c:v>v2 gpt-5.4-mini (round 2, final)</c:v>
                </c:pt>
                <c:pt idx="3">
                  <c:v>v2 gpt-5.4 planner</c:v>
                </c:pt>
                <c:pt idx="4">
                  <c:v>v2 Haiku answer</c:v>
                </c:pt>
                <c:pt idx="5">
                  <c:v>v2 Haiku planner + answer</c:v>
                </c:pt>
                <c:pt idx="6">
                  <c:v>v2 Haiku both + medium reasoning</c:v>
                </c:pt>
              </c:strCache>
            </c:strRef>
          </c:cat>
          <c:val>
            <c:numRef>
              <c:f>Combined!$D$3:$D$9</c:f>
              <c:numCache>
                <c:formatCode>0.0</c:formatCode>
                <c:ptCount val="7"/>
                <c:pt idx="0">
                  <c:v>3.4</c:v>
                </c:pt>
                <c:pt idx="1">
                  <c:v>9</c:v>
                </c:pt>
                <c:pt idx="2">
                  <c:v>13</c:v>
                </c:pt>
                <c:pt idx="3">
                  <c:v>15.6</c:v>
                </c:pt>
                <c:pt idx="4">
                  <c:v>15.2</c:v>
                </c:pt>
                <c:pt idx="5">
                  <c:v>20.9</c:v>
                </c:pt>
                <c:pt idx="6">
                  <c:v>45.9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456-4B17-9673-6D3EFD1860C4}"/>
            </c:ext>
          </c:extLst>
        </c:ser>
        <c:ser>
          <c:idx val="3"/>
          <c:order val="3"/>
          <c:tx>
            <c:strRef>
              <c:f>Combined!$E$2</c:f>
              <c:strCache>
                <c:ptCount val="1"/>
                <c:pt idx="0">
                  <c:v>Agent latency p90 (s)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Combined!$A$3:$A$9</c:f>
              <c:strCache>
                <c:ptCount val="7"/>
                <c:pt idx="0">
                  <c:v>v0 whole-article baseline</c:v>
                </c:pt>
                <c:pt idx="1">
                  <c:v>v1 gpt-5.4-mini</c:v>
                </c:pt>
                <c:pt idx="2">
                  <c:v>v2 gpt-5.4-mini (round 2, final)</c:v>
                </c:pt>
                <c:pt idx="3">
                  <c:v>v2 gpt-5.4 planner</c:v>
                </c:pt>
                <c:pt idx="4">
                  <c:v>v2 Haiku answer</c:v>
                </c:pt>
                <c:pt idx="5">
                  <c:v>v2 Haiku planner + answer</c:v>
                </c:pt>
                <c:pt idx="6">
                  <c:v>v2 Haiku both + medium reasoning</c:v>
                </c:pt>
              </c:strCache>
            </c:strRef>
          </c:cat>
          <c:val>
            <c:numRef>
              <c:f>Combined!$E$3:$E$9</c:f>
              <c:numCache>
                <c:formatCode>0.0</c:formatCode>
                <c:ptCount val="7"/>
                <c:pt idx="0">
                  <c:v>3.8</c:v>
                </c:pt>
                <c:pt idx="1">
                  <c:v>12.8</c:v>
                </c:pt>
                <c:pt idx="2">
                  <c:v>22.2</c:v>
                </c:pt>
                <c:pt idx="3">
                  <c:v>35.700000000000003</c:v>
                </c:pt>
                <c:pt idx="4">
                  <c:v>22.4</c:v>
                </c:pt>
                <c:pt idx="5">
                  <c:v>37</c:v>
                </c:pt>
                <c:pt idx="6">
                  <c:v>80.599999999999994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456-4B17-9673-6D3EFD1860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0182944"/>
        <c:axId val="970177184"/>
      </c:lineChart>
      <c:catAx>
        <c:axId val="970182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0177184"/>
        <c:crosses val="autoZero"/>
        <c:auto val="1"/>
        <c:lblAlgn val="ctr"/>
        <c:lblOffset val="100"/>
        <c:noMultiLvlLbl val="0"/>
      </c:catAx>
      <c:valAx>
        <c:axId val="970177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018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Latency Breakdown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Combined!$J$2</c:f>
              <c:strCache>
                <c:ptCount val="1"/>
                <c:pt idx="0">
                  <c:v>Retrieval, local no LLM (s)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Combined!$A$3:$A$9</c:f>
              <c:strCache>
                <c:ptCount val="7"/>
                <c:pt idx="0">
                  <c:v>v0 whole-article baseline</c:v>
                </c:pt>
                <c:pt idx="1">
                  <c:v>v1 gpt-5.4-mini</c:v>
                </c:pt>
                <c:pt idx="2">
                  <c:v>v2 gpt-5.4-mini (round 2, final)</c:v>
                </c:pt>
                <c:pt idx="3">
                  <c:v>v2 gpt-5.4 planner</c:v>
                </c:pt>
                <c:pt idx="4">
                  <c:v>v2 Haiku answer</c:v>
                </c:pt>
                <c:pt idx="5">
                  <c:v>v2 Haiku planner + answer</c:v>
                </c:pt>
                <c:pt idx="6">
                  <c:v>v2 Haiku both + medium reasoning</c:v>
                </c:pt>
              </c:strCache>
            </c:strRef>
          </c:cat>
          <c:val>
            <c:numRef>
              <c:f>Combined!$J$3:$J$9</c:f>
              <c:numCache>
                <c:formatCode>0.0</c:formatCode>
                <c:ptCount val="7"/>
                <c:pt idx="0">
                  <c:v>0.3</c:v>
                </c:pt>
                <c:pt idx="1">
                  <c:v>1.8</c:v>
                </c:pt>
                <c:pt idx="2">
                  <c:v>2.4</c:v>
                </c:pt>
                <c:pt idx="3">
                  <c:v>2.6</c:v>
                </c:pt>
                <c:pt idx="4" formatCode="General">
                  <c:v>0</c:v>
                </c:pt>
                <c:pt idx="5">
                  <c:v>3.4</c:v>
                </c:pt>
                <c:pt idx="6">
                  <c:v>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8D-4E31-B105-A8384A549B9B}"/>
            </c:ext>
          </c:extLst>
        </c:ser>
        <c:ser>
          <c:idx val="1"/>
          <c:order val="1"/>
          <c:tx>
            <c:strRef>
              <c:f>Combined!$K$2</c:f>
              <c:strCache>
                <c:ptCount val="1"/>
                <c:pt idx="0">
                  <c:v>Planner, all turns (s)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Combined!$A$3:$A$9</c:f>
              <c:strCache>
                <c:ptCount val="7"/>
                <c:pt idx="0">
                  <c:v>v0 whole-article baseline</c:v>
                </c:pt>
                <c:pt idx="1">
                  <c:v>v1 gpt-5.4-mini</c:v>
                </c:pt>
                <c:pt idx="2">
                  <c:v>v2 gpt-5.4-mini (round 2, final)</c:v>
                </c:pt>
                <c:pt idx="3">
                  <c:v>v2 gpt-5.4 planner</c:v>
                </c:pt>
                <c:pt idx="4">
                  <c:v>v2 Haiku answer</c:v>
                </c:pt>
                <c:pt idx="5">
                  <c:v>v2 Haiku planner + answer</c:v>
                </c:pt>
                <c:pt idx="6">
                  <c:v>v2 Haiku both + medium reasoning</c:v>
                </c:pt>
              </c:strCache>
            </c:strRef>
          </c:cat>
          <c:val>
            <c:numRef>
              <c:f>Combined!$K$3:$K$9</c:f>
              <c:numCache>
                <c:formatCode>0.0</c:formatCode>
                <c:ptCount val="7"/>
                <c:pt idx="0" formatCode="General">
                  <c:v>0</c:v>
                </c:pt>
                <c:pt idx="1">
                  <c:v>2</c:v>
                </c:pt>
                <c:pt idx="2">
                  <c:v>4.2</c:v>
                </c:pt>
                <c:pt idx="3">
                  <c:v>8</c:v>
                </c:pt>
                <c:pt idx="4" formatCode="General">
                  <c:v>0</c:v>
                </c:pt>
                <c:pt idx="5">
                  <c:v>11.1</c:v>
                </c:pt>
                <c:pt idx="6">
                  <c:v>27.3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8D-4E31-B105-A8384A549B9B}"/>
            </c:ext>
          </c:extLst>
        </c:ser>
        <c:ser>
          <c:idx val="2"/>
          <c:order val="2"/>
          <c:tx>
            <c:strRef>
              <c:f>Combined!$L$2</c:f>
              <c:strCache>
                <c:ptCount val="1"/>
                <c:pt idx="0">
                  <c:v>Answer (s)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Combined!$A$3:$A$9</c:f>
              <c:strCache>
                <c:ptCount val="7"/>
                <c:pt idx="0">
                  <c:v>v0 whole-article baseline</c:v>
                </c:pt>
                <c:pt idx="1">
                  <c:v>v1 gpt-5.4-mini</c:v>
                </c:pt>
                <c:pt idx="2">
                  <c:v>v2 gpt-5.4-mini (round 2, final)</c:v>
                </c:pt>
                <c:pt idx="3">
                  <c:v>v2 gpt-5.4 planner</c:v>
                </c:pt>
                <c:pt idx="4">
                  <c:v>v2 Haiku answer</c:v>
                </c:pt>
                <c:pt idx="5">
                  <c:v>v2 Haiku planner + answer</c:v>
                </c:pt>
                <c:pt idx="6">
                  <c:v>v2 Haiku both + medium reasoning</c:v>
                </c:pt>
              </c:strCache>
            </c:strRef>
          </c:cat>
          <c:val>
            <c:numRef>
              <c:f>Combined!$L$3:$L$9</c:f>
              <c:numCache>
                <c:formatCode>0.0</c:formatCode>
                <c:ptCount val="7"/>
                <c:pt idx="0">
                  <c:v>1.8</c:v>
                </c:pt>
                <c:pt idx="1">
                  <c:v>1.2</c:v>
                </c:pt>
                <c:pt idx="2">
                  <c:v>1.5</c:v>
                </c:pt>
                <c:pt idx="3">
                  <c:v>1.2</c:v>
                </c:pt>
                <c:pt idx="4" formatCode="General">
                  <c:v>0</c:v>
                </c:pt>
                <c:pt idx="5">
                  <c:v>2.6</c:v>
                </c:pt>
                <c:pt idx="6">
                  <c:v>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68D-4E31-B105-A8384A549B9B}"/>
            </c:ext>
          </c:extLst>
        </c:ser>
        <c:ser>
          <c:idx val="3"/>
          <c:order val="3"/>
          <c:tx>
            <c:strRef>
              <c:f>Combined!$M$2</c:f>
              <c:strCache>
                <c:ptCount val="1"/>
                <c:pt idx="0">
                  <c:v>Agent total (s)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Combined!$A$3:$A$9</c:f>
              <c:strCache>
                <c:ptCount val="7"/>
                <c:pt idx="0">
                  <c:v>v0 whole-article baseline</c:v>
                </c:pt>
                <c:pt idx="1">
                  <c:v>v1 gpt-5.4-mini</c:v>
                </c:pt>
                <c:pt idx="2">
                  <c:v>v2 gpt-5.4-mini (round 2, final)</c:v>
                </c:pt>
                <c:pt idx="3">
                  <c:v>v2 gpt-5.4 planner</c:v>
                </c:pt>
                <c:pt idx="4">
                  <c:v>v2 Haiku answer</c:v>
                </c:pt>
                <c:pt idx="5">
                  <c:v>v2 Haiku planner + answer</c:v>
                </c:pt>
                <c:pt idx="6">
                  <c:v>v2 Haiku both + medium reasoning</c:v>
                </c:pt>
              </c:strCache>
            </c:strRef>
          </c:cat>
          <c:val>
            <c:numRef>
              <c:f>Combined!$M$3:$M$9</c:f>
              <c:numCache>
                <c:formatCode>0.0</c:formatCode>
                <c:ptCount val="7"/>
                <c:pt idx="0">
                  <c:v>3.4</c:v>
                </c:pt>
                <c:pt idx="1">
                  <c:v>9</c:v>
                </c:pt>
                <c:pt idx="2">
                  <c:v>13</c:v>
                </c:pt>
                <c:pt idx="3">
                  <c:v>15.6</c:v>
                </c:pt>
                <c:pt idx="4" formatCode="General">
                  <c:v>0</c:v>
                </c:pt>
                <c:pt idx="5">
                  <c:v>20.9</c:v>
                </c:pt>
                <c:pt idx="6">
                  <c:v>45.9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68D-4E31-B105-A8384A549B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21363960"/>
        <c:axId val="621367200"/>
      </c:barChart>
      <c:catAx>
        <c:axId val="6213639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367200"/>
        <c:crosses val="autoZero"/>
        <c:auto val="1"/>
        <c:lblAlgn val="ctr"/>
        <c:lblOffset val="100"/>
        <c:noMultiLvlLbl val="0"/>
      </c:catAx>
      <c:valAx>
        <c:axId val="621367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363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Tokens and Context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Combined!$O$2</c:f>
              <c:strCache>
                <c:ptCount val="1"/>
                <c:pt idx="0">
                  <c:v>Tokens / query (incl. judges)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Combined!$A$3:$A$9</c:f>
              <c:strCache>
                <c:ptCount val="7"/>
                <c:pt idx="0">
                  <c:v>v0 whole-article baseline</c:v>
                </c:pt>
                <c:pt idx="1">
                  <c:v>v1 gpt-5.4-mini</c:v>
                </c:pt>
                <c:pt idx="2">
                  <c:v>v2 gpt-5.4-mini (round 2, final)</c:v>
                </c:pt>
                <c:pt idx="3">
                  <c:v>v2 gpt-5.4 planner</c:v>
                </c:pt>
                <c:pt idx="4">
                  <c:v>v2 Haiku answer</c:v>
                </c:pt>
                <c:pt idx="5">
                  <c:v>v2 Haiku planner + answer</c:v>
                </c:pt>
                <c:pt idx="6">
                  <c:v>v2 Haiku both + medium reasoning</c:v>
                </c:pt>
              </c:strCache>
            </c:strRef>
          </c:cat>
          <c:val>
            <c:numRef>
              <c:f>Combined!$O$3:$O$9</c:f>
              <c:numCache>
                <c:formatCode>#,##0</c:formatCode>
                <c:ptCount val="7"/>
                <c:pt idx="0">
                  <c:v>232321</c:v>
                </c:pt>
                <c:pt idx="1">
                  <c:v>29953</c:v>
                </c:pt>
                <c:pt idx="2">
                  <c:v>37136</c:v>
                </c:pt>
                <c:pt idx="3">
                  <c:v>33140</c:v>
                </c:pt>
                <c:pt idx="4">
                  <c:v>39533</c:v>
                </c:pt>
                <c:pt idx="5">
                  <c:v>45223</c:v>
                </c:pt>
                <c:pt idx="6">
                  <c:v>45325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05-47B3-B0F4-A407D45F4EE3}"/>
            </c:ext>
          </c:extLst>
        </c:ser>
        <c:ser>
          <c:idx val="1"/>
          <c:order val="1"/>
          <c:tx>
            <c:strRef>
              <c:f>Combined!$P$2</c:f>
              <c:strCache>
                <c:ptCount val="1"/>
                <c:pt idx="0">
                  <c:v>Planner tokens / query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Combined!$A$3:$A$9</c:f>
              <c:strCache>
                <c:ptCount val="7"/>
                <c:pt idx="0">
                  <c:v>v0 whole-article baseline</c:v>
                </c:pt>
                <c:pt idx="1">
                  <c:v>v1 gpt-5.4-mini</c:v>
                </c:pt>
                <c:pt idx="2">
                  <c:v>v2 gpt-5.4-mini (round 2, final)</c:v>
                </c:pt>
                <c:pt idx="3">
                  <c:v>v2 gpt-5.4 planner</c:v>
                </c:pt>
                <c:pt idx="4">
                  <c:v>v2 Haiku answer</c:v>
                </c:pt>
                <c:pt idx="5">
                  <c:v>v2 Haiku planner + answer</c:v>
                </c:pt>
                <c:pt idx="6">
                  <c:v>v2 Haiku both + medium reasoning</c:v>
                </c:pt>
              </c:strCache>
            </c:strRef>
          </c:cat>
          <c:val>
            <c:numRef>
              <c:f>Combined!$P$3:$P$9</c:f>
              <c:numCache>
                <c:formatCode>#,##0</c:formatCode>
                <c:ptCount val="7"/>
                <c:pt idx="0">
                  <c:v>0</c:v>
                </c:pt>
                <c:pt idx="1">
                  <c:v>7495</c:v>
                </c:pt>
                <c:pt idx="2">
                  <c:v>11284</c:v>
                </c:pt>
                <c:pt idx="3">
                  <c:v>11002</c:v>
                </c:pt>
                <c:pt idx="4">
                  <c:v>12125</c:v>
                </c:pt>
                <c:pt idx="5">
                  <c:v>15994</c:v>
                </c:pt>
                <c:pt idx="6">
                  <c:v>16715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05-47B3-B0F4-A407D45F4EE3}"/>
            </c:ext>
          </c:extLst>
        </c:ser>
        <c:ser>
          <c:idx val="2"/>
          <c:order val="2"/>
          <c:tx>
            <c:strRef>
              <c:f>Combined!$Q$2</c:f>
              <c:strCache>
                <c:ptCount val="1"/>
                <c:pt idx="0">
                  <c:v>Context passed to answerer (chars, mean)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Combined!$A$3:$A$9</c:f>
              <c:strCache>
                <c:ptCount val="7"/>
                <c:pt idx="0">
                  <c:v>v0 whole-article baseline</c:v>
                </c:pt>
                <c:pt idx="1">
                  <c:v>v1 gpt-5.4-mini</c:v>
                </c:pt>
                <c:pt idx="2">
                  <c:v>v2 gpt-5.4-mini (round 2, final)</c:v>
                </c:pt>
                <c:pt idx="3">
                  <c:v>v2 gpt-5.4 planner</c:v>
                </c:pt>
                <c:pt idx="4">
                  <c:v>v2 Haiku answer</c:v>
                </c:pt>
                <c:pt idx="5">
                  <c:v>v2 Haiku planner + answer</c:v>
                </c:pt>
                <c:pt idx="6">
                  <c:v>v2 Haiku both + medium reasoning</c:v>
                </c:pt>
              </c:strCache>
            </c:strRef>
          </c:cat>
          <c:val>
            <c:numRef>
              <c:f>Combined!$Q$3:$Q$9</c:f>
              <c:numCache>
                <c:formatCode>#,##0</c:formatCode>
                <c:ptCount val="7"/>
                <c:pt idx="0">
                  <c:v>224966</c:v>
                </c:pt>
                <c:pt idx="1">
                  <c:v>18479</c:v>
                </c:pt>
                <c:pt idx="2">
                  <c:v>20757</c:v>
                </c:pt>
                <c:pt idx="3">
                  <c:v>17511</c:v>
                </c:pt>
                <c:pt idx="4">
                  <c:v>21290</c:v>
                </c:pt>
                <c:pt idx="5">
                  <c:v>23098</c:v>
                </c:pt>
                <c:pt idx="6">
                  <c:v>20663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05-47B3-B0F4-A407D45F4E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21290760"/>
        <c:axId val="1021291480"/>
      </c:barChart>
      <c:catAx>
        <c:axId val="10212907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291480"/>
        <c:crosses val="autoZero"/>
        <c:auto val="1"/>
        <c:lblAlgn val="ctr"/>
        <c:lblOffset val="100"/>
        <c:noMultiLvlLbl val="0"/>
      </c:catAx>
      <c:valAx>
        <c:axId val="1021291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290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Workflow Complexity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Combined!$X$2</c:f>
              <c:strCache>
                <c:ptCount val="1"/>
                <c:pt idx="0">
                  <c:v>Answered after seed search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Combined!$A$3:$A$9</c:f>
              <c:strCache>
                <c:ptCount val="7"/>
                <c:pt idx="0">
                  <c:v>v0 whole-article baseline</c:v>
                </c:pt>
                <c:pt idx="1">
                  <c:v>v1 gpt-5.4-mini</c:v>
                </c:pt>
                <c:pt idx="2">
                  <c:v>v2 gpt-5.4-mini (round 2, final)</c:v>
                </c:pt>
                <c:pt idx="3">
                  <c:v>v2 gpt-5.4 planner</c:v>
                </c:pt>
                <c:pt idx="4">
                  <c:v>v2 Haiku answer</c:v>
                </c:pt>
                <c:pt idx="5">
                  <c:v>v2 Haiku planner + answer</c:v>
                </c:pt>
                <c:pt idx="6">
                  <c:v>v2 Haiku both + medium reasoning</c:v>
                </c:pt>
              </c:strCache>
            </c:strRef>
          </c:cat>
          <c:val>
            <c:numRef>
              <c:f>Combined!$X$3:$X$9</c:f>
              <c:numCache>
                <c:formatCode>0</c:formatCode>
                <c:ptCount val="7"/>
                <c:pt idx="0">
                  <c:v>17</c:v>
                </c:pt>
                <c:pt idx="1">
                  <c:v>17</c:v>
                </c:pt>
                <c:pt idx="2">
                  <c:v>12.92</c:v>
                </c:pt>
                <c:pt idx="3">
                  <c:v>11.899999999999999</c:v>
                </c:pt>
                <c:pt idx="4">
                  <c:v>8.84</c:v>
                </c:pt>
                <c:pt idx="5">
                  <c:v>9.86</c:v>
                </c:pt>
                <c:pt idx="6">
                  <c:v>9.86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B6-4130-89A9-9D85E84334F0}"/>
            </c:ext>
          </c:extLst>
        </c:ser>
        <c:ser>
          <c:idx val="1"/>
          <c:order val="1"/>
          <c:tx>
            <c:strRef>
              <c:f>Combined!$Y$2</c:f>
              <c:strCache>
                <c:ptCount val="1"/>
                <c:pt idx="0">
                  <c:v>Stop: planner_answer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Combined!$A$3:$A$9</c:f>
              <c:strCache>
                <c:ptCount val="7"/>
                <c:pt idx="0">
                  <c:v>v0 whole-article baseline</c:v>
                </c:pt>
                <c:pt idx="1">
                  <c:v>v1 gpt-5.4-mini</c:v>
                </c:pt>
                <c:pt idx="2">
                  <c:v>v2 gpt-5.4-mini (round 2, final)</c:v>
                </c:pt>
                <c:pt idx="3">
                  <c:v>v2 gpt-5.4 planner</c:v>
                </c:pt>
                <c:pt idx="4">
                  <c:v>v2 Haiku answer</c:v>
                </c:pt>
                <c:pt idx="5">
                  <c:v>v2 Haiku planner + answer</c:v>
                </c:pt>
                <c:pt idx="6">
                  <c:v>v2 Haiku both + medium reasoning</c:v>
                </c:pt>
              </c:strCache>
            </c:strRef>
          </c:cat>
          <c:val>
            <c:numRef>
              <c:f>Combined!$Y$3:$Y$9</c:f>
              <c:numCache>
                <c:formatCode>0</c:formatCode>
                <c:ptCount val="7"/>
                <c:pt idx="0">
                  <c:v>0</c:v>
                </c:pt>
                <c:pt idx="1">
                  <c:v>26</c:v>
                </c:pt>
                <c:pt idx="2">
                  <c:v>25</c:v>
                </c:pt>
                <c:pt idx="3">
                  <c:v>27</c:v>
                </c:pt>
                <c:pt idx="4">
                  <c:v>23</c:v>
                </c:pt>
                <c:pt idx="5">
                  <c:v>17</c:v>
                </c:pt>
                <c:pt idx="6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B6-4130-89A9-9D85E84334F0}"/>
            </c:ext>
          </c:extLst>
        </c:ser>
        <c:ser>
          <c:idx val="2"/>
          <c:order val="2"/>
          <c:tx>
            <c:strRef>
              <c:f>Combined!$Z$2</c:f>
              <c:strCache>
                <c:ptCount val="1"/>
                <c:pt idx="0">
                  <c:v>Stop: step_budget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Combined!$A$3:$A$9</c:f>
              <c:strCache>
                <c:ptCount val="7"/>
                <c:pt idx="0">
                  <c:v>v0 whole-article baseline</c:v>
                </c:pt>
                <c:pt idx="1">
                  <c:v>v1 gpt-5.4-mini</c:v>
                </c:pt>
                <c:pt idx="2">
                  <c:v>v2 gpt-5.4-mini (round 2, final)</c:v>
                </c:pt>
                <c:pt idx="3">
                  <c:v>v2 gpt-5.4 planner</c:v>
                </c:pt>
                <c:pt idx="4">
                  <c:v>v2 Haiku answer</c:v>
                </c:pt>
                <c:pt idx="5">
                  <c:v>v2 Haiku planner + answer</c:v>
                </c:pt>
                <c:pt idx="6">
                  <c:v>v2 Haiku both + medium reasoning</c:v>
                </c:pt>
              </c:strCache>
            </c:strRef>
          </c:cat>
          <c:val>
            <c:numRef>
              <c:f>Combined!$Z$3:$Z$9</c:f>
              <c:numCache>
                <c:formatCode>0</c:formatCode>
                <c:ptCount val="7"/>
                <c:pt idx="0">
                  <c:v>0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9</c:v>
                </c:pt>
                <c:pt idx="5">
                  <c:v>16</c:v>
                </c:pt>
                <c:pt idx="6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DB6-4130-89A9-9D85E84334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32937304"/>
        <c:axId val="632937664"/>
      </c:barChart>
      <c:catAx>
        <c:axId val="6329373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2937664"/>
        <c:crosses val="autoZero"/>
        <c:auto val="1"/>
        <c:lblAlgn val="ctr"/>
        <c:lblOffset val="100"/>
        <c:noMultiLvlLbl val="0"/>
      </c:catAx>
      <c:valAx>
        <c:axId val="632937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2937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Latency Spread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Combined!$D$2</c:f>
              <c:strCache>
                <c:ptCount val="1"/>
                <c:pt idx="0">
                  <c:v>Agent latency p50 (s)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Combined!$A$3:$A$9</c:f>
              <c:strCache>
                <c:ptCount val="7"/>
                <c:pt idx="0">
                  <c:v>v0 whole-article baseline</c:v>
                </c:pt>
                <c:pt idx="1">
                  <c:v>v1 gpt-5.4-mini</c:v>
                </c:pt>
                <c:pt idx="2">
                  <c:v>v2 gpt-5.4-mini (round 2, final)</c:v>
                </c:pt>
                <c:pt idx="3">
                  <c:v>v2 gpt-5.4 planner</c:v>
                </c:pt>
                <c:pt idx="4">
                  <c:v>v2 Haiku answer</c:v>
                </c:pt>
                <c:pt idx="5">
                  <c:v>v2 Haiku planner + answer</c:v>
                </c:pt>
                <c:pt idx="6">
                  <c:v>v2 Haiku both + medium reasoning</c:v>
                </c:pt>
              </c:strCache>
            </c:strRef>
          </c:cat>
          <c:val>
            <c:numRef>
              <c:f>Combined!$D$3:$D$9</c:f>
              <c:numCache>
                <c:formatCode>0.0</c:formatCode>
                <c:ptCount val="7"/>
                <c:pt idx="0">
                  <c:v>3.4</c:v>
                </c:pt>
                <c:pt idx="1">
                  <c:v>9</c:v>
                </c:pt>
                <c:pt idx="2">
                  <c:v>13</c:v>
                </c:pt>
                <c:pt idx="3">
                  <c:v>15.6</c:v>
                </c:pt>
                <c:pt idx="4">
                  <c:v>15.2</c:v>
                </c:pt>
                <c:pt idx="5">
                  <c:v>20.9</c:v>
                </c:pt>
                <c:pt idx="6">
                  <c:v>45.9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EA-47BD-9518-B7DC99BF91F0}"/>
            </c:ext>
          </c:extLst>
        </c:ser>
        <c:ser>
          <c:idx val="1"/>
          <c:order val="1"/>
          <c:tx>
            <c:strRef>
              <c:f>Combined!$E$2</c:f>
              <c:strCache>
                <c:ptCount val="1"/>
                <c:pt idx="0">
                  <c:v>Agent latency p90 (s)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Combined!$A$3:$A$9</c:f>
              <c:strCache>
                <c:ptCount val="7"/>
                <c:pt idx="0">
                  <c:v>v0 whole-article baseline</c:v>
                </c:pt>
                <c:pt idx="1">
                  <c:v>v1 gpt-5.4-mini</c:v>
                </c:pt>
                <c:pt idx="2">
                  <c:v>v2 gpt-5.4-mini (round 2, final)</c:v>
                </c:pt>
                <c:pt idx="3">
                  <c:v>v2 gpt-5.4 planner</c:v>
                </c:pt>
                <c:pt idx="4">
                  <c:v>v2 Haiku answer</c:v>
                </c:pt>
                <c:pt idx="5">
                  <c:v>v2 Haiku planner + answer</c:v>
                </c:pt>
                <c:pt idx="6">
                  <c:v>v2 Haiku both + medium reasoning</c:v>
                </c:pt>
              </c:strCache>
            </c:strRef>
          </c:cat>
          <c:val>
            <c:numRef>
              <c:f>Combined!$E$3:$E$9</c:f>
              <c:numCache>
                <c:formatCode>0.0</c:formatCode>
                <c:ptCount val="7"/>
                <c:pt idx="0">
                  <c:v>3.8</c:v>
                </c:pt>
                <c:pt idx="1">
                  <c:v>12.8</c:v>
                </c:pt>
                <c:pt idx="2">
                  <c:v>22.2</c:v>
                </c:pt>
                <c:pt idx="3">
                  <c:v>35.700000000000003</c:v>
                </c:pt>
                <c:pt idx="4">
                  <c:v>22.4</c:v>
                </c:pt>
                <c:pt idx="5">
                  <c:v>37</c:v>
                </c:pt>
                <c:pt idx="6">
                  <c:v>80.599999999999994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EA-47BD-9518-B7DC99BF91F0}"/>
            </c:ext>
          </c:extLst>
        </c:ser>
        <c:ser>
          <c:idx val="2"/>
          <c:order val="2"/>
          <c:tx>
            <c:strRef>
              <c:f>Combined!$F$2</c:f>
              <c:strCache>
                <c:ptCount val="1"/>
                <c:pt idx="0">
                  <c:v>Agent latency max (s)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Combined!$A$3:$A$9</c:f>
              <c:strCache>
                <c:ptCount val="7"/>
                <c:pt idx="0">
                  <c:v>v0 whole-article baseline</c:v>
                </c:pt>
                <c:pt idx="1">
                  <c:v>v1 gpt-5.4-mini</c:v>
                </c:pt>
                <c:pt idx="2">
                  <c:v>v2 gpt-5.4-mini (round 2, final)</c:v>
                </c:pt>
                <c:pt idx="3">
                  <c:v>v2 gpt-5.4 planner</c:v>
                </c:pt>
                <c:pt idx="4">
                  <c:v>v2 Haiku answer</c:v>
                </c:pt>
                <c:pt idx="5">
                  <c:v>v2 Haiku planner + answer</c:v>
                </c:pt>
                <c:pt idx="6">
                  <c:v>v2 Haiku both + medium reasoning</c:v>
                </c:pt>
              </c:strCache>
            </c:strRef>
          </c:cat>
          <c:val>
            <c:numRef>
              <c:f>Combined!$F$3:$F$9</c:f>
              <c:numCache>
                <c:formatCode>0.0</c:formatCode>
                <c:ptCount val="7"/>
                <c:pt idx="0">
                  <c:v>3.9</c:v>
                </c:pt>
                <c:pt idx="1">
                  <c:v>14.2</c:v>
                </c:pt>
                <c:pt idx="2">
                  <c:v>27.5</c:v>
                </c:pt>
                <c:pt idx="3">
                  <c:v>59.4</c:v>
                </c:pt>
                <c:pt idx="4">
                  <c:v>28.9</c:v>
                </c:pt>
                <c:pt idx="5">
                  <c:v>40.5</c:v>
                </c:pt>
                <c:pt idx="6">
                  <c:v>92.8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EA-47BD-9518-B7DC99BF91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71765888"/>
        <c:axId val="1071759768"/>
      </c:barChart>
      <c:catAx>
        <c:axId val="10717658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1759768"/>
        <c:crosses val="autoZero"/>
        <c:auto val="1"/>
        <c:lblAlgn val="ctr"/>
        <c:lblOffset val="100"/>
        <c:noMultiLvlLbl val="0"/>
      </c:catAx>
      <c:valAx>
        <c:axId val="1071759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1765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480060</xdr:colOff>
      <xdr:row>24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79F2877-7504-431C-85DD-1938489A3B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0</xdr:row>
      <xdr:rowOff>0</xdr:rowOff>
    </xdr:from>
    <xdr:to>
      <xdr:col>17</xdr:col>
      <xdr:colOff>304800</xdr:colOff>
      <xdr:row>23</xdr:row>
      <xdr:rowOff>175260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7382272-B00A-4A84-B77D-5773F8646D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0</xdr:row>
      <xdr:rowOff>0</xdr:rowOff>
    </xdr:from>
    <xdr:to>
      <xdr:col>25</xdr:col>
      <xdr:colOff>304800</xdr:colOff>
      <xdr:row>23</xdr:row>
      <xdr:rowOff>167640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5EF5E2C-A61A-42A1-8960-0EF0610A99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0</xdr:colOff>
      <xdr:row>0</xdr:row>
      <xdr:rowOff>0</xdr:rowOff>
    </xdr:from>
    <xdr:to>
      <xdr:col>33</xdr:col>
      <xdr:colOff>304800</xdr:colOff>
      <xdr:row>23</xdr:row>
      <xdr:rowOff>167640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DEA6F29-144E-48A6-A1E3-6885930CD0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0</xdr:colOff>
      <xdr:row>25</xdr:row>
      <xdr:rowOff>0</xdr:rowOff>
    </xdr:from>
    <xdr:to>
      <xdr:col>17</xdr:col>
      <xdr:colOff>304800</xdr:colOff>
      <xdr:row>42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3E2997-F01B-4FB1-96D2-5B960321CD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9"/>
  <sheetViews>
    <sheetView workbookViewId="0">
      <pane xSplit="1" ySplit="2" topLeftCell="B3" activePane="bottomRight" state="frozen"/>
      <selection pane="topRight"/>
      <selection pane="bottomLeft"/>
      <selection pane="bottomRight" activeCell="D2" activeCellId="1" sqref="A2:A9 D2:F9"/>
    </sheetView>
  </sheetViews>
  <sheetFormatPr defaultRowHeight="14.4" x14ac:dyDescent="0.3"/>
  <cols>
    <col min="1" max="1" width="34" customWidth="1"/>
    <col min="2" max="30" width="15" customWidth="1"/>
  </cols>
  <sheetData>
    <row r="1" spans="1:30" x14ac:dyDescent="0.3">
      <c r="A1" s="1"/>
      <c r="B1" s="30" t="s">
        <v>1</v>
      </c>
      <c r="C1" s="31"/>
      <c r="D1" s="31"/>
      <c r="E1" s="31"/>
      <c r="F1" s="31"/>
      <c r="G1" s="31"/>
      <c r="H1" s="31"/>
      <c r="I1" s="31"/>
      <c r="J1" s="28" t="s">
        <v>2</v>
      </c>
      <c r="K1" s="29"/>
      <c r="L1" s="29"/>
      <c r="M1" s="29"/>
      <c r="N1" s="29"/>
      <c r="O1" s="24" t="s">
        <v>3</v>
      </c>
      <c r="P1" s="25"/>
      <c r="Q1" s="25"/>
      <c r="R1" s="25"/>
      <c r="S1" s="25"/>
      <c r="T1" s="25"/>
      <c r="U1" s="26" t="s">
        <v>4</v>
      </c>
      <c r="V1" s="27"/>
      <c r="W1" s="27"/>
      <c r="X1" s="27"/>
      <c r="Y1" s="27"/>
      <c r="Z1" s="27"/>
      <c r="AA1" s="27"/>
      <c r="AB1" s="27"/>
      <c r="AC1" s="27"/>
      <c r="AD1" s="27"/>
    </row>
    <row r="2" spans="1:30" ht="60" customHeight="1" x14ac:dyDescent="0.3">
      <c r="A2" s="1" t="s">
        <v>0</v>
      </c>
      <c r="B2" s="2" t="s">
        <v>5</v>
      </c>
      <c r="C2" s="22" t="s">
        <v>51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3" t="s">
        <v>12</v>
      </c>
      <c r="K2" s="3" t="s">
        <v>13</v>
      </c>
      <c r="L2" s="3" t="s">
        <v>14</v>
      </c>
      <c r="M2" s="3" t="s">
        <v>15</v>
      </c>
      <c r="N2" s="3" t="s">
        <v>16</v>
      </c>
      <c r="O2" s="4" t="s">
        <v>17</v>
      </c>
      <c r="P2" s="4" t="s">
        <v>18</v>
      </c>
      <c r="Q2" s="4" t="s">
        <v>19</v>
      </c>
      <c r="R2" s="4" t="s">
        <v>20</v>
      </c>
      <c r="S2" s="4" t="s">
        <v>21</v>
      </c>
      <c r="T2" s="4" t="s">
        <v>22</v>
      </c>
      <c r="U2" s="5" t="s">
        <v>23</v>
      </c>
      <c r="V2" s="5" t="s">
        <v>24</v>
      </c>
      <c r="W2" s="5" t="s">
        <v>25</v>
      </c>
      <c r="X2" s="5" t="s">
        <v>52</v>
      </c>
      <c r="Y2" s="5" t="s">
        <v>26</v>
      </c>
      <c r="Z2" s="5" t="s">
        <v>27</v>
      </c>
      <c r="AA2" s="5" t="s">
        <v>28</v>
      </c>
      <c r="AB2" s="5" t="s">
        <v>29</v>
      </c>
      <c r="AC2" s="5" t="s">
        <v>30</v>
      </c>
      <c r="AD2" s="5" t="s">
        <v>31</v>
      </c>
    </row>
    <row r="3" spans="1:30" x14ac:dyDescent="0.3">
      <c r="A3" s="6" t="s">
        <v>32</v>
      </c>
      <c r="B3" s="7">
        <v>7</v>
      </c>
      <c r="C3" s="23">
        <v>29.9</v>
      </c>
      <c r="D3" s="7">
        <v>3.4</v>
      </c>
      <c r="E3" s="7">
        <v>3.8</v>
      </c>
      <c r="F3" s="7">
        <v>3.9</v>
      </c>
      <c r="G3" s="7">
        <v>1</v>
      </c>
      <c r="H3" s="9">
        <v>1</v>
      </c>
      <c r="I3" s="10">
        <v>0</v>
      </c>
      <c r="J3" s="7">
        <v>0.3</v>
      </c>
      <c r="K3" s="11" t="s">
        <v>33</v>
      </c>
      <c r="L3" s="7">
        <v>1.8</v>
      </c>
      <c r="M3" s="7">
        <v>3.4</v>
      </c>
      <c r="N3" s="11" t="s">
        <v>33</v>
      </c>
      <c r="O3" s="12">
        <v>232321</v>
      </c>
      <c r="P3" s="12">
        <v>0</v>
      </c>
      <c r="Q3" s="12">
        <v>224966</v>
      </c>
      <c r="R3" s="11" t="s">
        <v>33</v>
      </c>
      <c r="S3" s="11" t="s">
        <v>33</v>
      </c>
      <c r="T3" s="11" t="s">
        <v>33</v>
      </c>
      <c r="U3" s="13">
        <v>1</v>
      </c>
      <c r="V3" s="10">
        <v>0</v>
      </c>
      <c r="W3" s="9">
        <v>17</v>
      </c>
      <c r="X3" s="9">
        <f>U3*W3</f>
        <v>17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17</v>
      </c>
    </row>
    <row r="4" spans="1:30" x14ac:dyDescent="0.3">
      <c r="A4" s="6" t="s">
        <v>34</v>
      </c>
      <c r="B4" s="7">
        <v>11.5</v>
      </c>
      <c r="C4" s="23">
        <v>4.3</v>
      </c>
      <c r="D4" s="7">
        <v>9</v>
      </c>
      <c r="E4" s="7">
        <v>12.8</v>
      </c>
      <c r="F4" s="7">
        <v>14.2</v>
      </c>
      <c r="G4" s="7">
        <v>2.8</v>
      </c>
      <c r="H4" s="9">
        <v>4</v>
      </c>
      <c r="I4" s="10">
        <v>1.03</v>
      </c>
      <c r="J4" s="7">
        <v>1.8</v>
      </c>
      <c r="K4" s="7">
        <v>2</v>
      </c>
      <c r="L4" s="7">
        <v>1.2</v>
      </c>
      <c r="M4" s="7">
        <v>9</v>
      </c>
      <c r="N4" s="13">
        <v>0.22</v>
      </c>
      <c r="O4" s="12">
        <v>29953</v>
      </c>
      <c r="P4" s="12">
        <v>7495</v>
      </c>
      <c r="Q4" s="12">
        <v>18479</v>
      </c>
      <c r="R4" s="11" t="s">
        <v>35</v>
      </c>
      <c r="S4" s="11" t="s">
        <v>35</v>
      </c>
      <c r="T4" s="11" t="s">
        <v>35</v>
      </c>
      <c r="U4" s="13">
        <v>0.5</v>
      </c>
      <c r="V4" s="10">
        <v>0</v>
      </c>
      <c r="W4" s="9">
        <v>34</v>
      </c>
      <c r="X4" s="9">
        <f t="shared" ref="X4:X9" si="0">U4*W4</f>
        <v>17</v>
      </c>
      <c r="Y4" s="9">
        <v>26</v>
      </c>
      <c r="Z4" s="9">
        <v>8</v>
      </c>
      <c r="AA4" s="9">
        <v>0</v>
      </c>
      <c r="AB4" s="9">
        <v>0</v>
      </c>
      <c r="AC4" s="9">
        <v>0</v>
      </c>
      <c r="AD4" s="9">
        <v>0</v>
      </c>
    </row>
    <row r="5" spans="1:30" x14ac:dyDescent="0.3">
      <c r="A5" s="14" t="s">
        <v>36</v>
      </c>
      <c r="B5" s="15">
        <v>11.5</v>
      </c>
      <c r="C5" s="23">
        <v>5.5000000000000009</v>
      </c>
      <c r="D5" s="15">
        <v>13</v>
      </c>
      <c r="E5" s="15">
        <v>22.2</v>
      </c>
      <c r="F5" s="15">
        <v>27.5</v>
      </c>
      <c r="G5" s="15">
        <v>4.2</v>
      </c>
      <c r="H5" s="16">
        <v>7</v>
      </c>
      <c r="I5" s="17">
        <v>1.18</v>
      </c>
      <c r="J5" s="15">
        <v>2.4</v>
      </c>
      <c r="K5" s="15">
        <v>4.2</v>
      </c>
      <c r="L5" s="15">
        <v>1.5</v>
      </c>
      <c r="M5" s="15">
        <v>13</v>
      </c>
      <c r="N5" s="18">
        <v>0.32</v>
      </c>
      <c r="O5" s="19">
        <v>37136</v>
      </c>
      <c r="P5" s="19">
        <v>11284</v>
      </c>
      <c r="Q5" s="19">
        <v>20757</v>
      </c>
      <c r="R5" s="20" t="s">
        <v>35</v>
      </c>
      <c r="S5" s="20" t="s">
        <v>35</v>
      </c>
      <c r="T5" s="20" t="s">
        <v>35</v>
      </c>
      <c r="U5" s="18">
        <v>0.38</v>
      </c>
      <c r="V5" s="17">
        <v>0.18</v>
      </c>
      <c r="W5" s="16">
        <v>34</v>
      </c>
      <c r="X5" s="9">
        <f t="shared" si="0"/>
        <v>12.92</v>
      </c>
      <c r="Y5" s="16">
        <v>25</v>
      </c>
      <c r="Z5" s="16">
        <v>7</v>
      </c>
      <c r="AA5" s="16">
        <v>1</v>
      </c>
      <c r="AB5" s="16">
        <v>1</v>
      </c>
      <c r="AC5" s="16">
        <v>0</v>
      </c>
      <c r="AD5" s="16">
        <v>0</v>
      </c>
    </row>
    <row r="6" spans="1:30" x14ac:dyDescent="0.3">
      <c r="A6" s="6" t="s">
        <v>37</v>
      </c>
      <c r="B6" s="7">
        <v>12.5</v>
      </c>
      <c r="C6" s="23">
        <v>10.199999999999999</v>
      </c>
      <c r="D6" s="7">
        <v>15.6</v>
      </c>
      <c r="E6" s="7">
        <v>35.700000000000003</v>
      </c>
      <c r="F6" s="7">
        <v>59.4</v>
      </c>
      <c r="G6" s="7">
        <v>4</v>
      </c>
      <c r="H6" s="9">
        <v>6</v>
      </c>
      <c r="I6" s="10">
        <v>1.18</v>
      </c>
      <c r="J6" s="7">
        <v>2.6</v>
      </c>
      <c r="K6" s="7">
        <v>8</v>
      </c>
      <c r="L6" s="7">
        <v>1.2</v>
      </c>
      <c r="M6" s="7">
        <v>15.6</v>
      </c>
      <c r="N6" s="13">
        <v>0.51</v>
      </c>
      <c r="O6" s="12">
        <v>33140</v>
      </c>
      <c r="P6" s="12">
        <v>11002</v>
      </c>
      <c r="Q6" s="12">
        <v>17511</v>
      </c>
      <c r="R6" s="8">
        <v>0.7</v>
      </c>
      <c r="S6" s="11" t="s">
        <v>35</v>
      </c>
      <c r="T6" s="8">
        <v>0.32</v>
      </c>
      <c r="U6" s="13">
        <v>0.35</v>
      </c>
      <c r="V6" s="10">
        <v>0.06</v>
      </c>
      <c r="W6" s="9">
        <v>34</v>
      </c>
      <c r="X6" s="9">
        <f t="shared" si="0"/>
        <v>11.899999999999999</v>
      </c>
      <c r="Y6" s="9">
        <v>27</v>
      </c>
      <c r="Z6" s="9">
        <v>7</v>
      </c>
      <c r="AA6" s="9">
        <v>0</v>
      </c>
      <c r="AB6" s="9">
        <v>0</v>
      </c>
      <c r="AC6" s="9">
        <v>0</v>
      </c>
      <c r="AD6" s="9">
        <v>0</v>
      </c>
    </row>
    <row r="7" spans="1:30" x14ac:dyDescent="0.3">
      <c r="A7" s="6" t="s">
        <v>38</v>
      </c>
      <c r="B7" s="7">
        <v>12.5</v>
      </c>
      <c r="C7" s="23">
        <v>6.3</v>
      </c>
      <c r="D7" s="7">
        <v>15.2</v>
      </c>
      <c r="E7" s="7">
        <v>22.4</v>
      </c>
      <c r="F7" s="7">
        <v>28.9</v>
      </c>
      <c r="G7" s="7">
        <v>4.4000000000000004</v>
      </c>
      <c r="H7" s="9">
        <v>7</v>
      </c>
      <c r="I7" s="10">
        <v>1.44</v>
      </c>
      <c r="J7" s="11" t="s">
        <v>39</v>
      </c>
      <c r="K7" s="11" t="s">
        <v>39</v>
      </c>
      <c r="L7" s="11" t="s">
        <v>39</v>
      </c>
      <c r="M7" s="11" t="s">
        <v>39</v>
      </c>
      <c r="N7" s="11" t="s">
        <v>39</v>
      </c>
      <c r="O7" s="12">
        <v>39533</v>
      </c>
      <c r="P7" s="12">
        <v>12125</v>
      </c>
      <c r="Q7" s="12">
        <v>21290</v>
      </c>
      <c r="R7" s="8">
        <v>0.2</v>
      </c>
      <c r="S7" s="8">
        <v>0.15</v>
      </c>
      <c r="T7" s="8">
        <v>0.28000000000000003</v>
      </c>
      <c r="U7" s="13">
        <v>0.26</v>
      </c>
      <c r="V7" s="10">
        <v>0.15</v>
      </c>
      <c r="W7" s="9">
        <v>34</v>
      </c>
      <c r="X7" s="9">
        <f t="shared" si="0"/>
        <v>8.84</v>
      </c>
      <c r="Y7" s="9">
        <v>23</v>
      </c>
      <c r="Z7" s="9">
        <v>9</v>
      </c>
      <c r="AA7" s="9">
        <v>0</v>
      </c>
      <c r="AB7" s="9">
        <v>0</v>
      </c>
      <c r="AC7" s="9">
        <v>2</v>
      </c>
      <c r="AD7" s="9">
        <v>0</v>
      </c>
    </row>
    <row r="8" spans="1:30" x14ac:dyDescent="0.3">
      <c r="A8" s="6" t="s">
        <v>40</v>
      </c>
      <c r="B8" s="7">
        <v>13.5</v>
      </c>
      <c r="C8" s="23">
        <v>8.1999999999999993</v>
      </c>
      <c r="D8" s="7">
        <v>20.9</v>
      </c>
      <c r="E8" s="7">
        <v>37</v>
      </c>
      <c r="F8" s="7">
        <v>40.5</v>
      </c>
      <c r="G8" s="7">
        <v>4.7</v>
      </c>
      <c r="H8" s="9">
        <v>7</v>
      </c>
      <c r="I8" s="10">
        <v>1.82</v>
      </c>
      <c r="J8" s="7">
        <v>3.4</v>
      </c>
      <c r="K8" s="7">
        <v>11.1</v>
      </c>
      <c r="L8" s="7">
        <v>2.6</v>
      </c>
      <c r="M8" s="7">
        <v>20.9</v>
      </c>
      <c r="N8" s="13">
        <v>0.53</v>
      </c>
      <c r="O8" s="12">
        <v>45223</v>
      </c>
      <c r="P8" s="12">
        <v>15994</v>
      </c>
      <c r="Q8" s="12">
        <v>23098</v>
      </c>
      <c r="R8" s="8">
        <v>0.36</v>
      </c>
      <c r="S8" s="8">
        <v>0.16</v>
      </c>
      <c r="T8" s="8">
        <v>0.3</v>
      </c>
      <c r="U8" s="13">
        <v>0.28999999999999998</v>
      </c>
      <c r="V8" s="10">
        <v>0.32</v>
      </c>
      <c r="W8" s="9">
        <v>34</v>
      </c>
      <c r="X8" s="9">
        <f t="shared" si="0"/>
        <v>9.86</v>
      </c>
      <c r="Y8" s="9">
        <v>17</v>
      </c>
      <c r="Z8" s="9">
        <v>16</v>
      </c>
      <c r="AA8" s="9">
        <v>1</v>
      </c>
      <c r="AB8" s="9">
        <v>0</v>
      </c>
      <c r="AC8" s="9">
        <v>0</v>
      </c>
      <c r="AD8" s="9">
        <v>0</v>
      </c>
    </row>
    <row r="9" spans="1:30" x14ac:dyDescent="0.3">
      <c r="A9" s="6" t="s">
        <v>41</v>
      </c>
      <c r="B9" s="7">
        <v>14</v>
      </c>
      <c r="C9" s="23">
        <v>10.8</v>
      </c>
      <c r="D9" s="7">
        <v>45.9</v>
      </c>
      <c r="E9" s="7">
        <v>80.599999999999994</v>
      </c>
      <c r="F9" s="7">
        <v>92.8</v>
      </c>
      <c r="G9" s="7">
        <v>4.5</v>
      </c>
      <c r="H9" s="9">
        <v>7</v>
      </c>
      <c r="I9" s="10">
        <v>1.5</v>
      </c>
      <c r="J9" s="7">
        <v>2.4</v>
      </c>
      <c r="K9" s="7">
        <v>27.3</v>
      </c>
      <c r="L9" s="7">
        <v>6.5</v>
      </c>
      <c r="M9" s="7">
        <v>45.9</v>
      </c>
      <c r="N9" s="13">
        <v>0.6</v>
      </c>
      <c r="O9" s="12">
        <v>45325</v>
      </c>
      <c r="P9" s="12">
        <v>16715</v>
      </c>
      <c r="Q9" s="12">
        <v>20663</v>
      </c>
      <c r="R9" s="8">
        <v>0.59</v>
      </c>
      <c r="S9" s="8">
        <v>0.22</v>
      </c>
      <c r="T9" s="8">
        <v>0.27</v>
      </c>
      <c r="U9" s="13">
        <v>0.28999999999999998</v>
      </c>
      <c r="V9" s="10">
        <v>0.32</v>
      </c>
      <c r="W9" s="9">
        <v>34</v>
      </c>
      <c r="X9" s="9">
        <f t="shared" si="0"/>
        <v>9.86</v>
      </c>
      <c r="Y9" s="9">
        <v>20</v>
      </c>
      <c r="Z9" s="9">
        <v>12</v>
      </c>
      <c r="AA9" s="9">
        <v>2</v>
      </c>
      <c r="AB9" s="9">
        <v>0</v>
      </c>
      <c r="AC9" s="9">
        <v>0</v>
      </c>
      <c r="AD9" s="9">
        <v>0</v>
      </c>
    </row>
  </sheetData>
  <mergeCells count="4">
    <mergeCell ref="O1:T1"/>
    <mergeCell ref="U1:AD1"/>
    <mergeCell ref="J1:N1"/>
    <mergeCell ref="B1:I1"/>
  </mergeCell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97AE2-95A3-453B-AF55-F03577E7999E}">
  <dimension ref="A1"/>
  <sheetViews>
    <sheetView tabSelected="1" topLeftCell="A25" zoomScale="120" zoomScaleNormal="120" workbookViewId="0">
      <selection activeCell="H30" sqref="H30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"/>
  <sheetViews>
    <sheetView workbookViewId="0"/>
  </sheetViews>
  <sheetFormatPr defaultRowHeight="14.4" x14ac:dyDescent="0.3"/>
  <cols>
    <col min="1" max="1" width="140" customWidth="1"/>
  </cols>
  <sheetData>
    <row r="1" spans="1:1" x14ac:dyDescent="0.3">
      <c r="A1" s="21" t="s">
        <v>42</v>
      </c>
    </row>
    <row r="3" spans="1:1" x14ac:dyDescent="0.3">
      <c r="A3" t="s">
        <v>43</v>
      </c>
    </row>
    <row r="4" spans="1:1" x14ac:dyDescent="0.3">
      <c r="A4" t="s">
        <v>44</v>
      </c>
    </row>
    <row r="5" spans="1:1" x14ac:dyDescent="0.3">
      <c r="A5" t="s">
        <v>45</v>
      </c>
    </row>
    <row r="6" spans="1:1" x14ac:dyDescent="0.3">
      <c r="A6" t="s">
        <v>46</v>
      </c>
    </row>
    <row r="7" spans="1:1" x14ac:dyDescent="0.3">
      <c r="A7" t="s">
        <v>47</v>
      </c>
    </row>
    <row r="8" spans="1:1" x14ac:dyDescent="0.3">
      <c r="A8" t="s">
        <v>48</v>
      </c>
    </row>
    <row r="9" spans="1:1" x14ac:dyDescent="0.3">
      <c r="A9" t="s">
        <v>49</v>
      </c>
    </row>
    <row r="10" spans="1:1" x14ac:dyDescent="0.3">
      <c r="A10" t="s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Combined</vt:lpstr>
      <vt:lpstr>Graphs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Stephen Campbell</cp:lastModifiedBy>
  <dcterms:created xsi:type="dcterms:W3CDTF">2026-10-07T18:02:02Z</dcterms:created>
  <dcterms:modified xsi:type="dcterms:W3CDTF">2026-10-09T13:56:53Z</dcterms:modified>
</cp:coreProperties>
</file>